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imonedu-my.sharepoint.com/personal/dptopublicaciones_unisimon_edu_co/Documents/MigradoGDrive/Seguimiento y Gestión - Yesssica Muñoz/INFORMACION IMPORTANTE/GASTOS e INGRESOS DEL DPTO/"/>
    </mc:Choice>
  </mc:AlternateContent>
  <xr:revisionPtr revIDLastSave="0" documentId="8_{43E88A23-68E1-4A47-9AAB-F955B8F385FC}" xr6:coauthVersionLast="47" xr6:coauthVersionMax="47" xr10:uidLastSave="{00000000-0000-0000-0000-000000000000}"/>
  <bookViews>
    <workbookView xWindow="-120" yWindow="-120" windowWidth="29040" windowHeight="15720" firstSheet="1" activeTab="1" xr2:uid="{0949AF04-6647-4ED5-B8FB-DF5B804DD7B2}"/>
  </bookViews>
  <sheets>
    <sheet name="Gastos generales" sheetId="1" r:id="rId1"/>
    <sheet name="Ingresos" sheetId="2" r:id="rId2"/>
    <sheet name="Financiamiento" sheetId="3" r:id="rId3"/>
    <sheet name="Hoja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Alexandra</author>
    <author>Alexandra Gutierrez</author>
  </authors>
  <commentList>
    <comment ref="A1" authorId="0" shapeId="0" xr:uid="{53A864C5-284B-48DA-9B52-1F9CB1689D2D}">
      <text>
        <r>
          <rPr>
            <b/>
            <sz val="9"/>
            <color indexed="81"/>
            <rFont val="Tahoma"/>
            <family val="2"/>
          </rPr>
          <t xml:space="preserve">Especifica la cantidad del bien a solicitar
</t>
        </r>
      </text>
    </comment>
    <comment ref="B1" authorId="0" shapeId="0" xr:uid="{D0016761-2FDB-4C53-9B54-4BD7F20A6681}">
      <text>
        <r>
          <rPr>
            <b/>
            <sz val="9"/>
            <color indexed="81"/>
            <rFont val="Tahoma"/>
            <family val="2"/>
          </rPr>
          <t>Especifique la unidad del bien, por ej: cajas, paquetes, resmas, kilogramos, unidad,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1" shapeId="0" xr:uid="{B12F3938-5459-4481-A0C4-7A6F1B187307}">
      <text>
        <r>
          <rPr>
            <b/>
            <sz val="9"/>
            <color indexed="81"/>
            <rFont val="Tahoma"/>
            <family val="2"/>
          </rPr>
          <t>Especifique el número (de 9 dígitos) del centro de costo asignado en la estructura financiera.</t>
        </r>
      </text>
    </comment>
    <comment ref="D1" authorId="1" shapeId="0" xr:uid="{FF4676F0-939C-4EDA-B7BB-1A902A4F3F09}">
      <text>
        <r>
          <rPr>
            <b/>
            <sz val="9"/>
            <color indexed="81"/>
            <rFont val="Tahoma"/>
            <family val="2"/>
          </rPr>
          <t>Especifique el número (de 9 dígitos) del área de negocio asignado en la estructura financiera.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1" shapeId="0" xr:uid="{8794C050-0199-4898-A099-90298127E2B8}">
      <text>
        <r>
          <rPr>
            <b/>
            <sz val="9"/>
            <color indexed="81"/>
            <rFont val="Tahoma"/>
            <family val="2"/>
          </rPr>
          <t>Especifique el número (de 9 dígitos) del proyecto asignado en la estructura financiera.</t>
        </r>
      </text>
    </comment>
    <comment ref="F1" authorId="1" shapeId="0" xr:uid="{436CBACF-D836-47CA-B5C1-D84F7CAE3FFD}">
      <text>
        <r>
          <rPr>
            <b/>
            <sz val="9"/>
            <color indexed="81"/>
            <rFont val="Tahoma"/>
            <family val="2"/>
          </rPr>
          <t>De acuerdo a lo establecido en la estructura financiera.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<sst xmlns="http://schemas.openxmlformats.org/spreadsheetml/2006/main" count="181" uniqueCount="87">
  <si>
    <t>Cantidad
Solicitada</t>
  </si>
  <si>
    <t>Unidad</t>
  </si>
  <si>
    <t>Centro de Costo</t>
  </si>
  <si>
    <t>Área de negocio</t>
  </si>
  <si>
    <t>Proyecto</t>
  </si>
  <si>
    <t>Destino del Gasto</t>
  </si>
  <si>
    <t xml:space="preserve">Descripción 
</t>
  </si>
  <si>
    <t>Valor</t>
  </si>
  <si>
    <t>Aprobación (Jefe de dependencia o Programa)</t>
  </si>
  <si>
    <t>Fuente de financiación</t>
  </si>
  <si>
    <t xml:space="preserve">Orden de compra </t>
  </si>
  <si>
    <t>Acádemico</t>
  </si>
  <si>
    <t>Renovación membresia Crossref y DOI's</t>
  </si>
  <si>
    <t>Dhayana Férnandez</t>
  </si>
  <si>
    <t>Interna (Departamento de publicaciones)</t>
  </si>
  <si>
    <t>N/A</t>
  </si>
  <si>
    <r>
      <t xml:space="preserve">Cuota de sostenimiento anual
</t>
    </r>
    <r>
      <rPr>
        <b/>
        <sz val="10"/>
        <rFont val="Arial"/>
        <family val="2"/>
      </rPr>
      <t>ASEUC</t>
    </r>
    <r>
      <rPr>
        <sz val="10"/>
        <rFont val="Arial"/>
        <family val="2"/>
      </rPr>
      <t xml:space="preserve"> para vigencia 2025</t>
    </r>
  </si>
  <si>
    <r>
      <t xml:space="preserve">100 libros: </t>
    </r>
    <r>
      <rPr>
        <b/>
        <sz val="10"/>
        <rFont val="Arial"/>
        <family val="2"/>
      </rPr>
      <t xml:space="preserve">Ancestralidad y Afrodescendencia
Memorias 2023-2024).  </t>
    </r>
    <r>
      <rPr>
        <sz val="10"/>
        <rFont val="Arial"/>
        <family val="2"/>
      </rPr>
      <t>Formato impreso a 1x1 tintas con corrección de estilo, corrección
ortotipográfica, diseño y diagramación de
caratula, contracaratula, portada, portadillas y páginas interiores, de 112
páginas. Tintas interior: 1x1
Tamaño refilado 16.5x23 cms sobre bond
75 grs Portada: 4x0 propalcote de 300 grs
más plastificado mate. Encuadernación
hotmelt con lomo. Trámite del ISBN
digital e impreso y garantia de
encuadernación. Incluye envio a
Barranquilla y empaque individual
plastico termosellado.</t>
    </r>
  </si>
  <si>
    <t>Orden No. 36165</t>
  </si>
  <si>
    <r>
      <t>Impresión de 25 libros: H</t>
    </r>
    <r>
      <rPr>
        <b/>
        <sz val="10"/>
        <rFont val="Arial"/>
        <family val="2"/>
      </rPr>
      <t>ISTORIAS DE RESILIENCIA ARTESANÍA Y MANIFESTACIÓN
CULTURAL EN EL MUNICIPIO DE
PUERTO COLOMBIA (ATLÁNTICO).</t>
    </r>
  </si>
  <si>
    <t>Orden No. 36440</t>
  </si>
  <si>
    <r>
      <rPr>
        <b/>
        <sz val="11"/>
        <color theme="1"/>
        <rFont val="Calibri"/>
        <family val="2"/>
        <scheme val="minor"/>
      </rPr>
      <t>Libro MEMORIAS ENCUENTRO DE
EXTENSION</t>
    </r>
    <r>
      <rPr>
        <sz val="11"/>
        <color theme="1"/>
        <rFont val="Calibri"/>
        <family val="2"/>
        <scheme val="minor"/>
      </rPr>
      <t xml:space="preserve"> Edición digital de 230
páginas en tamaño 17x24 cms con
los procesos de corrección de
estilo y ortográfica, diseño y
diagramación de paginas interiores
y portada, trámite del isbn versión
digital y entrega de PDF final.</t>
    </r>
  </si>
  <si>
    <t xml:space="preserve">Interna (Departamento de publicaciones) </t>
  </si>
  <si>
    <t>Orden No. 36685</t>
  </si>
  <si>
    <r>
      <rPr>
        <b/>
        <sz val="10"/>
        <rFont val="Arial"/>
        <family val="2"/>
      </rPr>
      <t>REVISTA GUARRACUCO No. 22</t>
    </r>
    <r>
      <rPr>
        <sz val="10"/>
        <rFont val="Arial"/>
        <family val="2"/>
      </rPr>
      <t>, Universidad del Meta Impresión de 200 ejemplares, tamaño 17 x 24, con 248 páginas de texto
impresas a 1 tinta en papel bond blanco de 75 gr</t>
    </r>
  </si>
  <si>
    <t>Orden No. 36679</t>
  </si>
  <si>
    <r>
      <t xml:space="preserve">Participación de tres reseñas de
libros de Ediciones Universidad
Simón Bolívar en la </t>
    </r>
    <r>
      <rPr>
        <b/>
        <sz val="10"/>
        <rFont val="Arial"/>
        <family val="2"/>
      </rPr>
      <t>revista
Unilibros 2025</t>
    </r>
  </si>
  <si>
    <t>Orden N°  36682</t>
  </si>
  <si>
    <r>
      <rPr>
        <b/>
        <sz val="11"/>
        <color theme="1"/>
        <rFont val="Calibri"/>
        <family val="2"/>
        <scheme val="minor"/>
      </rPr>
      <t>Participación en stand de la Asociación de 
Editoriales Universitaria de Colombia
ASEUC</t>
    </r>
    <r>
      <rPr>
        <sz val="11"/>
        <color theme="1"/>
        <rFont val="Calibri"/>
        <family val="2"/>
        <scheme val="minor"/>
      </rPr>
      <t xml:space="preserve"> ubicado en el pabellón No. 3 nivel
2 estand 338 del recinto de CORFERIAS,
en la </t>
    </r>
    <r>
      <rPr>
        <b/>
        <sz val="11"/>
        <color theme="1"/>
        <rFont val="Calibri"/>
        <family val="2"/>
        <scheme val="minor"/>
      </rPr>
      <t>Feria Internacional del Libro de
Bogotá FILBo 2025</t>
    </r>
    <r>
      <rPr>
        <sz val="11"/>
        <color theme="1"/>
        <rFont val="Calibri"/>
        <family val="2"/>
        <scheme val="minor"/>
      </rPr>
      <t xml:space="preserve"> a desarrollarse del 25
de abril al 11 de mayo de 2025, con una
participación de cinco (5) títulos tres (3)
ejemplares de cada uno, con una
exibición interna y externa en el el Stand.</t>
    </r>
  </si>
  <si>
    <t>Orden No. 37070</t>
  </si>
  <si>
    <r>
      <rPr>
        <b/>
        <sz val="11"/>
        <color theme="1"/>
        <rFont val="Calibri"/>
        <family val="2"/>
        <scheme val="minor"/>
      </rPr>
      <t>ISBN COMBO DOBLE DEL LIBRO: Contra el silenciamiento y la invisibilización</t>
    </r>
    <r>
      <rPr>
        <sz val="11"/>
        <color theme="1"/>
        <rFont val="Calibri"/>
        <family val="2"/>
        <scheme val="minor"/>
      </rPr>
      <t xml:space="preserve">
IMPRESO DIGITAL CAMARA
COLOMBIANA DEL LIBRO</t>
    </r>
  </si>
  <si>
    <t>Orden No. 37234</t>
  </si>
  <si>
    <r>
      <rPr>
        <b/>
        <sz val="11"/>
        <color theme="1"/>
        <rFont val="Calibri"/>
        <family val="2"/>
        <scheme val="minor"/>
      </rPr>
      <t>Patrocinio a Journals &amp; Author para el evento "6.º Encuentro Regional de Editores académicos"</t>
    </r>
    <r>
      <rPr>
        <sz val="11"/>
        <color theme="1"/>
        <rFont val="Calibri"/>
        <family val="2"/>
        <scheme val="minor"/>
      </rPr>
      <t>, que se llevará a cabo del 9 al 11 de julio de 2025 en la Universidad Católica Luis Amigó, Medellín, Colombia. Este evento, esta dirigido a editores de revistas científicas y contará con un destacado programa académico que incluirá conferencias, talleres especializados, onversatorios, mesas de trabajo colaborativo y
presentación de pósteres</t>
    </r>
  </si>
  <si>
    <t>Orden No. 37184</t>
  </si>
  <si>
    <r>
      <t>Libro "</t>
    </r>
    <r>
      <rPr>
        <b/>
        <sz val="11"/>
        <color theme="1"/>
        <rFont val="Calibri"/>
        <family val="2"/>
        <scheme val="minor"/>
      </rPr>
      <t>Ecosistema en movimientos emergentes</t>
    </r>
    <r>
      <rPr>
        <sz val="11"/>
        <color theme="1"/>
        <rFont val="Calibri"/>
        <family val="2"/>
        <scheme val="minor"/>
      </rPr>
      <t>", en formato digital, a color con corrección de estilo, corrección ortotipográfica, diseño y diagramación de portada y páginas interiores, de 143 páginas. Tramite del ISBN versión digital.</t>
    </r>
  </si>
  <si>
    <t>Orden No. 37258</t>
  </si>
  <si>
    <r>
      <t xml:space="preserve">Libro: </t>
    </r>
    <r>
      <rPr>
        <b/>
        <sz val="11"/>
        <color theme="1"/>
        <rFont val="Calibri"/>
        <family val="2"/>
        <scheme val="minor"/>
      </rPr>
      <t>Los Cimientos Epistemológicos de 
Administración</t>
    </r>
    <r>
      <rPr>
        <sz val="11"/>
        <color theme="1"/>
        <rFont val="Calibri"/>
        <family val="2"/>
        <scheme val="minor"/>
      </rPr>
      <t xml:space="preserve">. Dr. José María Mendoza formato digital. </t>
    </r>
  </si>
  <si>
    <t>Orden No. 38304</t>
  </si>
  <si>
    <r>
      <t xml:space="preserve">LIBRO </t>
    </r>
    <r>
      <rPr>
        <b/>
        <sz val="11"/>
        <color theme="1"/>
        <rFont val="Calibri"/>
        <family val="2"/>
        <scheme val="minor"/>
      </rPr>
      <t>CORAZÓN DE ACORDEÓN</t>
    </r>
  </si>
  <si>
    <t>Orden No. 33995</t>
  </si>
  <si>
    <r>
      <t xml:space="preserve"> Revista </t>
    </r>
    <r>
      <rPr>
        <b/>
        <sz val="11"/>
        <color theme="1"/>
        <rFont val="Calibri"/>
        <family val="2"/>
        <scheme val="minor"/>
      </rPr>
      <t>EDUCACIÓN Y 
HUMANISMO</t>
    </r>
    <r>
      <rPr>
        <sz val="11"/>
        <color theme="1"/>
        <rFont val="Calibri"/>
        <family val="2"/>
        <scheme val="minor"/>
      </rPr>
      <t xml:space="preserve"> Volumen 27 - 48
Revista electrónica en PDF en tamaño 21x27 
cms, así:
Documento diagramado para exposición 
electrónica con variables autoajustables, 
hipervinculos activados con enlaces a 
referencias bibliográficas y/o citaciones con 
259 páginas.</t>
    </r>
  </si>
  <si>
    <t>Orden de compra N° 39147</t>
  </si>
  <si>
    <r>
      <rPr>
        <b/>
        <sz val="11"/>
        <color theme="1"/>
        <rFont val="Calibri"/>
        <family val="2"/>
        <scheme val="minor"/>
      </rPr>
      <t xml:space="preserve">Revista electrónica Psicogente </t>
    </r>
    <r>
      <rPr>
        <sz val="11"/>
        <color theme="1"/>
        <rFont val="Calibri"/>
        <family val="2"/>
        <scheme val="minor"/>
      </rPr>
      <t>Volumen 28, Número 54, julio diciembre 2025
Revista electrónica en PDF, tamaño 21 x 12,110,000.00 0.00 12,110,000.00
27 cm, con vínculos y HTML. Documento
diagramado para exposición electrónica,
con variable, enlace a referencias
bibliográficas y/o citaciones. Contiene
200 páginas.</t>
    </r>
  </si>
  <si>
    <t>Nataly Galán</t>
  </si>
  <si>
    <t>Orden No. 41604</t>
  </si>
  <si>
    <r>
      <rPr>
        <b/>
        <sz val="11"/>
        <color theme="1"/>
        <rFont val="Calibri"/>
        <family val="2"/>
        <scheme val="minor"/>
      </rPr>
      <t>DOI's (Digital Object Identifier) para libros y revistas científicas</t>
    </r>
    <r>
      <rPr>
        <sz val="11"/>
        <color theme="1"/>
        <rFont val="Calibri"/>
        <family val="2"/>
        <scheme val="minor"/>
      </rPr>
      <t xml:space="preserve">
Producto: 415010101007 - SUSCRIPCIONES, AFILIACIONES, MEMBRESIAS Y CUOTA DE SOSTENIMIENTO EXENTAS</t>
    </r>
  </si>
  <si>
    <t>1115,20 USD</t>
  </si>
  <si>
    <t>FILBAC 2025 Stand N°20</t>
  </si>
  <si>
    <t>Luis Ortiz Ospino</t>
  </si>
  <si>
    <t>Orden No. 42051</t>
  </si>
  <si>
    <r>
      <rPr>
        <b/>
        <sz val="11"/>
        <color theme="1"/>
        <rFont val="Calibri"/>
        <family val="2"/>
        <scheme val="minor"/>
      </rPr>
      <t>Segunda coedición del libro "José Consuegra Higgins abanderando del pensamiento propio"</t>
    </r>
    <r>
      <rPr>
        <sz val="11"/>
        <color theme="1"/>
        <rFont val="Calibri"/>
        <family val="2"/>
        <scheme val="minor"/>
      </rPr>
      <t>, de autoría de Julián Sabogal, para la impresión de 150 ejemplares físicos asumidos por la
Universidad</t>
    </r>
  </si>
  <si>
    <t>Orden No. 42223</t>
  </si>
  <si>
    <t>Diagramación de los artículos de la
Revista EDUCACIÓN Y
HUMANISMO Volumen 27 - 49,
formato electrónico en PDF en
tamaño 21x27 cms.</t>
  </si>
  <si>
    <t>$9´976.000</t>
  </si>
  <si>
    <t>Orden No. 42587</t>
  </si>
  <si>
    <t>Diagramacion articulos psicogente enero-junio 2026</t>
  </si>
  <si>
    <t>Orden No. 42704</t>
  </si>
  <si>
    <t>Fecha</t>
  </si>
  <si>
    <t xml:space="preserve">Tipo de solicitud </t>
  </si>
  <si>
    <t>Entidad de donde proviene el ingreso</t>
  </si>
  <si>
    <t xml:space="preserve">Valor </t>
  </si>
  <si>
    <t xml:space="preserve">Factura </t>
  </si>
  <si>
    <t>Fecha de pago</t>
  </si>
  <si>
    <t>Proceso editorial libro</t>
  </si>
  <si>
    <r>
      <rPr>
        <b/>
        <sz val="11"/>
        <color theme="1"/>
        <rFont val="Calibri"/>
        <family val="2"/>
        <scheme val="minor"/>
      </rPr>
      <t xml:space="preserve">
Libro MEMORIAS ENCUENTRO DE
EXTENSION</t>
    </r>
    <r>
      <rPr>
        <sz val="11"/>
        <color theme="1"/>
        <rFont val="Calibri"/>
        <family val="2"/>
        <scheme val="minor"/>
      </rPr>
      <t xml:space="preserve"> Edición digital de 230
páginas en tamaño 17x24 cms con
los procesos de corrección de
estilo y ortográfica, diseño y
diagramación de paginas interiores
y portada, trámite del isbn versión
digital y entrega de PDF final.</t>
    </r>
  </si>
  <si>
    <t>ASCUN</t>
  </si>
  <si>
    <t>No. USB3555</t>
  </si>
  <si>
    <t>Venta de libros</t>
  </si>
  <si>
    <t>Libros vendidos en el marco de la FILBO 2025 (Reporte de ASEUC)</t>
  </si>
  <si>
    <t>ASEUC</t>
  </si>
  <si>
    <t xml:space="preserve">Pendiente </t>
  </si>
  <si>
    <t>Ventas libros en Biblioteca Luis Angel Arango 2025</t>
  </si>
  <si>
    <t>No se hizo factura</t>
  </si>
  <si>
    <t>Ventas Libros en Ferias Nacionales 2025</t>
  </si>
  <si>
    <t xml:space="preserve">ASEUC </t>
  </si>
  <si>
    <t>No. USB4127</t>
  </si>
  <si>
    <t>15/12/2025 - 12:00</t>
  </si>
  <si>
    <t>Fuente financiamiento</t>
  </si>
  <si>
    <t xml:space="preserve">Entidad financiadora </t>
  </si>
  <si>
    <t xml:space="preserve">Externa </t>
  </si>
  <si>
    <t>Convenio alianza interinstitucional</t>
  </si>
  <si>
    <t>CONVENIO ESPECÍFICO DE ALIANZA INTERINSTITUCIONAL
ENTRE LA UNIVERSIDAD SIMÓN BOLÍVAR Y LA INSTITUCIÓN UNIVERSITARIA DE BARRANQUILLA (IUB)</t>
  </si>
  <si>
    <t>INSTITUCIÓN UNIVERSITARIA DE BARRANQUILLA (IUB)</t>
  </si>
  <si>
    <t>Servicio editorial completo para libro</t>
  </si>
  <si>
    <r>
      <t xml:space="preserve">
Servicio editorial para el libro </t>
    </r>
    <r>
      <rPr>
        <b/>
        <i/>
        <sz val="11"/>
        <color theme="1"/>
        <rFont val="Arial"/>
        <family val="2"/>
      </rPr>
      <t>MEMORIAS ENCUENTRO DE
EXTENSION</t>
    </r>
    <r>
      <rPr>
        <sz val="11"/>
        <color theme="1"/>
        <rFont val="Arial"/>
        <family val="2"/>
      </rPr>
      <t>. Libro digital con  corrección de
estilo y ortográfica, diseño y
diagramación de paginas interiores
y portada, trámite del isbn versión
digital y entrega de PDF final.</t>
    </r>
  </si>
  <si>
    <r>
      <t>Servicios editoriales que incluye revisión, corrección de estilo, edición, diagramación y preparación de archivo final para publicación del libro producto de investigación:</t>
    </r>
    <r>
      <rPr>
        <b/>
        <i/>
        <sz val="11"/>
        <color theme="1"/>
        <rFont val="Calibri"/>
        <family val="2"/>
        <scheme val="minor"/>
      </rPr>
      <t xml:space="preserve"> El conflicto armado hacia la paz en el nororiente colombiano: el patrimonio sensible y las memorias vivas en dialogo</t>
    </r>
    <r>
      <rPr>
        <sz val="11"/>
        <color theme="1"/>
        <rFont val="Calibri"/>
        <family val="2"/>
        <scheme val="minor"/>
      </rPr>
      <t xml:space="preserve">.
Libro impreso, 200 ejemplares </t>
    </r>
  </si>
  <si>
    <t xml:space="preserve">Universidad de Santander y Universidad Autonoma de Bucaramanga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</si>
</sst>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_-&quot;$&quot;\ * #,##0.00_-;\-&quot;$&quot;\ * #,##0.00_-;_-&quot;$&quot;\ * &quot;-&quot;??_-;_-@_-"/>
    <numFmt numFmtId="166" formatCode="&quot;$&quot;#,##0;[Red]\-&quot;$&quot;#,##0"/>
    <numFmt numFmtId="167" formatCode="_-&quot;$&quot;\ * #,##0_-;\-&quot;$&quot;\ * #,##0_-;_-&quot;$&quot;\ * &quot;-&quot;??_-;_-@_-"/>
  </numFmts>
  <fonts count="14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F1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7" fillId="0" borderId="0" applyFont="0" applyFill="0" applyBorder="0" applyAlignment="0" applyProtection="0"/>
  </cellStyleXfs>
  <cellXfs count="45">
    <xf numFmtId="0" fontId="0" fillId="0" borderId="0" xfId="0"/>
    <xf numFmtId="166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left" vertical="top" wrapText="1"/>
    </xf>
    <xf numFmtId="167" fontId="1" fillId="2" borderId="1" xfId="1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 applyProtection="1">
      <alignment horizontal="center" vertical="center" wrapText="1"/>
      <protection locked="0"/>
    </xf>
    <xf numFmtId="167" fontId="0" fillId="0" borderId="1" xfId="1" applyNumberFormat="1" applyFont="1" applyBorder="1" applyAlignment="1">
      <alignment horizontal="center" vertical="center"/>
    </xf>
    <xf numFmtId="167" fontId="0" fillId="0" borderId="0" xfId="1" applyNumberFormat="1" applyFont="1"/>
    <xf numFmtId="0" fontId="0" fillId="0" borderId="1" xfId="0" applyBorder="1" applyAlignment="1">
      <alignment vertical="top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 wrapText="1"/>
    </xf>
    <xf numFmtId="167" fontId="0" fillId="0" borderId="1" xfId="1" applyNumberFormat="1" applyFont="1" applyBorder="1" applyAlignment="1">
      <alignment vertical="center"/>
    </xf>
    <xf numFmtId="167" fontId="0" fillId="0" borderId="1" xfId="1" applyNumberFormat="1" applyFont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wrapText="1"/>
      <protection locked="0"/>
    </xf>
    <xf numFmtId="164" fontId="0" fillId="0" borderId="0" xfId="0" applyNumberForma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FFA3-3872-4593-B001-9F85A939DE7B}">
  <dimension ref="A1:K21"/>
  <sheetViews>
    <sheetView workbookViewId="0">
      <pane ySplit="1" topLeftCell="A16" activePane="bottomLeft" state="frozen"/>
      <selection pane="bottomLeft" activeCell="J19" sqref="J19"/>
    </sheetView>
  </sheetViews>
  <sheetFormatPr defaultColWidth="11.42578125" defaultRowHeight="15"/>
  <cols>
    <col min="7" max="7" width="43.140625" customWidth="1"/>
    <col min="8" max="8" width="22.5703125" style="22" customWidth="1"/>
    <col min="9" max="9" width="31" customWidth="1"/>
    <col min="10" max="10" width="31.85546875" customWidth="1"/>
    <col min="11" max="11" width="34.42578125" customWidth="1"/>
  </cols>
  <sheetData>
    <row r="1" spans="1:11" ht="25.5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9" t="s">
        <v>7</v>
      </c>
      <c r="I1" s="6" t="s">
        <v>8</v>
      </c>
      <c r="J1" s="5" t="s">
        <v>9</v>
      </c>
      <c r="K1" s="5" t="s">
        <v>10</v>
      </c>
    </row>
    <row r="2" spans="1:11" ht="45.75" customHeight="1">
      <c r="A2" s="7">
        <v>1</v>
      </c>
      <c r="B2" s="7" t="s">
        <v>1</v>
      </c>
      <c r="C2" s="3">
        <v>340201008</v>
      </c>
      <c r="D2" s="3">
        <v>999999999</v>
      </c>
      <c r="E2" s="3">
        <v>999999999</v>
      </c>
      <c r="F2" s="3" t="s">
        <v>11</v>
      </c>
      <c r="G2" s="16" t="s">
        <v>12</v>
      </c>
      <c r="H2" s="20"/>
      <c r="I2" s="3" t="s">
        <v>13</v>
      </c>
      <c r="J2" s="3" t="s">
        <v>14</v>
      </c>
      <c r="K2" s="3" t="s">
        <v>15</v>
      </c>
    </row>
    <row r="3" spans="1:11" ht="55.5" customHeight="1">
      <c r="A3" s="7">
        <v>1</v>
      </c>
      <c r="B3" s="7" t="s">
        <v>1</v>
      </c>
      <c r="C3" s="3">
        <v>340201008</v>
      </c>
      <c r="D3" s="3">
        <v>999999999</v>
      </c>
      <c r="E3" s="3">
        <v>999999999</v>
      </c>
      <c r="F3" s="3" t="s">
        <v>11</v>
      </c>
      <c r="G3" s="16" t="s">
        <v>16</v>
      </c>
      <c r="H3" s="20">
        <v>7519000</v>
      </c>
      <c r="I3" s="3" t="s">
        <v>13</v>
      </c>
      <c r="J3" s="3" t="s">
        <v>14</v>
      </c>
      <c r="K3" s="3" t="s">
        <v>15</v>
      </c>
    </row>
    <row r="4" spans="1:11" ht="105" customHeight="1">
      <c r="A4" s="7">
        <v>100</v>
      </c>
      <c r="B4" s="7" t="s">
        <v>1</v>
      </c>
      <c r="C4" s="3">
        <v>340201008</v>
      </c>
      <c r="D4" s="3">
        <v>999999999</v>
      </c>
      <c r="E4" s="3">
        <v>999999999</v>
      </c>
      <c r="F4" s="3" t="s">
        <v>11</v>
      </c>
      <c r="G4" s="17" t="s">
        <v>17</v>
      </c>
      <c r="H4" s="21">
        <v>5800000</v>
      </c>
      <c r="I4" s="3" t="s">
        <v>13</v>
      </c>
      <c r="J4" s="3" t="s">
        <v>14</v>
      </c>
      <c r="K4" s="9" t="s">
        <v>18</v>
      </c>
    </row>
    <row r="5" spans="1:11" ht="69.75" customHeight="1">
      <c r="A5" s="7">
        <v>25</v>
      </c>
      <c r="B5" s="7" t="s">
        <v>1</v>
      </c>
      <c r="C5" s="3">
        <v>340201008</v>
      </c>
      <c r="D5" s="3">
        <v>999999999</v>
      </c>
      <c r="E5" s="3">
        <v>999999999</v>
      </c>
      <c r="F5" s="3" t="s">
        <v>11</v>
      </c>
      <c r="G5" s="17" t="s">
        <v>19</v>
      </c>
      <c r="H5" s="21">
        <v>760000</v>
      </c>
      <c r="I5" s="3" t="s">
        <v>13</v>
      </c>
      <c r="J5" s="3" t="s">
        <v>14</v>
      </c>
      <c r="K5" s="9" t="s">
        <v>20</v>
      </c>
    </row>
    <row r="6" spans="1:11" ht="128.25" customHeight="1">
      <c r="A6" s="7">
        <v>1</v>
      </c>
      <c r="B6" s="7" t="s">
        <v>1</v>
      </c>
      <c r="C6" s="3">
        <v>340201008</v>
      </c>
      <c r="D6" s="3">
        <v>999999999</v>
      </c>
      <c r="E6" s="3">
        <v>999999999</v>
      </c>
      <c r="F6" s="3" t="s">
        <v>11</v>
      </c>
      <c r="G6" s="18" t="s">
        <v>21</v>
      </c>
      <c r="H6" s="20">
        <v>3000000</v>
      </c>
      <c r="I6" s="3" t="s">
        <v>13</v>
      </c>
      <c r="J6" s="3" t="s">
        <v>22</v>
      </c>
      <c r="K6" s="9" t="s">
        <v>23</v>
      </c>
    </row>
    <row r="7" spans="1:11" ht="85.5" customHeight="1">
      <c r="A7" s="7">
        <v>200</v>
      </c>
      <c r="B7" s="7" t="s">
        <v>1</v>
      </c>
      <c r="C7" s="3">
        <v>340201008</v>
      </c>
      <c r="D7" s="3">
        <v>999999999</v>
      </c>
      <c r="E7" s="3">
        <v>999999999</v>
      </c>
      <c r="F7" s="3" t="s">
        <v>11</v>
      </c>
      <c r="G7" s="17" t="s">
        <v>24</v>
      </c>
      <c r="H7" s="20">
        <v>4501000</v>
      </c>
      <c r="I7" s="3" t="s">
        <v>13</v>
      </c>
      <c r="J7" s="3" t="s">
        <v>14</v>
      </c>
      <c r="K7" s="9" t="s">
        <v>25</v>
      </c>
    </row>
    <row r="8" spans="1:11" ht="61.5" customHeight="1">
      <c r="A8" s="7">
        <v>1</v>
      </c>
      <c r="B8" s="7" t="s">
        <v>1</v>
      </c>
      <c r="C8" s="3">
        <v>340201008</v>
      </c>
      <c r="D8" s="3">
        <v>999999999</v>
      </c>
      <c r="E8" s="3">
        <v>999999999</v>
      </c>
      <c r="F8" s="3" t="s">
        <v>11</v>
      </c>
      <c r="G8" s="16" t="s">
        <v>26</v>
      </c>
      <c r="H8" s="20">
        <v>1680000</v>
      </c>
      <c r="I8" s="3" t="s">
        <v>13</v>
      </c>
      <c r="J8" s="3" t="s">
        <v>14</v>
      </c>
      <c r="K8" s="9" t="s">
        <v>27</v>
      </c>
    </row>
    <row r="9" spans="1:11" ht="93" customHeight="1">
      <c r="A9" s="7">
        <v>1</v>
      </c>
      <c r="B9" s="7" t="s">
        <v>1</v>
      </c>
      <c r="C9" s="3">
        <v>340201008</v>
      </c>
      <c r="D9" s="3">
        <v>999999999</v>
      </c>
      <c r="E9" s="3">
        <v>999999999</v>
      </c>
      <c r="F9" s="3" t="s">
        <v>11</v>
      </c>
      <c r="G9" s="18" t="s">
        <v>28</v>
      </c>
      <c r="H9" s="20">
        <v>1200000</v>
      </c>
      <c r="I9" s="3" t="s">
        <v>13</v>
      </c>
      <c r="J9" s="3" t="s">
        <v>14</v>
      </c>
      <c r="K9" s="9" t="s">
        <v>29</v>
      </c>
    </row>
    <row r="10" spans="1:11" ht="64.5" customHeight="1">
      <c r="A10" s="7">
        <v>1</v>
      </c>
      <c r="B10" s="7" t="s">
        <v>1</v>
      </c>
      <c r="C10" s="3">
        <v>340201008</v>
      </c>
      <c r="D10" s="3">
        <v>999999999</v>
      </c>
      <c r="E10" s="3">
        <v>999999999</v>
      </c>
      <c r="F10" s="3" t="s">
        <v>11</v>
      </c>
      <c r="G10" s="15" t="s">
        <v>30</v>
      </c>
      <c r="H10" s="20">
        <v>97100</v>
      </c>
      <c r="I10" s="3" t="s">
        <v>13</v>
      </c>
      <c r="J10" s="3" t="s">
        <v>14</v>
      </c>
      <c r="K10" s="9" t="s">
        <v>31</v>
      </c>
    </row>
    <row r="11" spans="1:11" ht="75.75" customHeight="1">
      <c r="A11" s="7">
        <v>1</v>
      </c>
      <c r="B11" s="7" t="s">
        <v>1</v>
      </c>
      <c r="C11" s="3">
        <v>340201008</v>
      </c>
      <c r="D11" s="3">
        <v>999999999</v>
      </c>
      <c r="E11" s="3">
        <v>999999999</v>
      </c>
      <c r="F11" s="3" t="s">
        <v>11</v>
      </c>
      <c r="G11" s="23" t="s">
        <v>32</v>
      </c>
      <c r="H11" s="20">
        <v>2000000</v>
      </c>
      <c r="I11" s="3" t="s">
        <v>13</v>
      </c>
      <c r="J11" s="3" t="s">
        <v>14</v>
      </c>
      <c r="K11" s="9" t="s">
        <v>33</v>
      </c>
    </row>
    <row r="12" spans="1:11" ht="90">
      <c r="A12" s="7">
        <v>1</v>
      </c>
      <c r="B12" s="7" t="s">
        <v>1</v>
      </c>
      <c r="C12" s="3">
        <v>340201008</v>
      </c>
      <c r="D12" s="3">
        <v>999999999</v>
      </c>
      <c r="E12" s="3">
        <v>999999999</v>
      </c>
      <c r="F12" s="3" t="s">
        <v>11</v>
      </c>
      <c r="G12" s="15" t="s">
        <v>34</v>
      </c>
      <c r="H12" s="20">
        <v>3861000</v>
      </c>
      <c r="I12" s="3" t="s">
        <v>13</v>
      </c>
      <c r="J12" s="3" t="s">
        <v>14</v>
      </c>
      <c r="K12" s="9" t="s">
        <v>35</v>
      </c>
    </row>
    <row r="13" spans="1:11" ht="64.5" customHeight="1">
      <c r="A13" s="7">
        <v>1</v>
      </c>
      <c r="B13" s="7" t="s">
        <v>1</v>
      </c>
      <c r="C13" s="3">
        <v>340201008</v>
      </c>
      <c r="D13" s="3">
        <v>999999999</v>
      </c>
      <c r="E13" s="3">
        <v>999999999</v>
      </c>
      <c r="F13" s="3" t="s">
        <v>11</v>
      </c>
      <c r="G13" s="15" t="s">
        <v>36</v>
      </c>
      <c r="H13" s="20">
        <v>4980000</v>
      </c>
      <c r="I13" s="3" t="s">
        <v>13</v>
      </c>
      <c r="J13" s="3" t="s">
        <v>14</v>
      </c>
      <c r="K13" s="9" t="s">
        <v>37</v>
      </c>
    </row>
    <row r="14" spans="1:11" ht="40.5" customHeight="1">
      <c r="A14" s="7">
        <v>300</v>
      </c>
      <c r="B14" s="7" t="s">
        <v>1</v>
      </c>
      <c r="C14" s="3">
        <v>340201008</v>
      </c>
      <c r="D14" s="3">
        <v>999999999</v>
      </c>
      <c r="E14" s="3">
        <v>999999999</v>
      </c>
      <c r="F14" s="3" t="s">
        <v>11</v>
      </c>
      <c r="G14" s="15" t="s">
        <v>38</v>
      </c>
      <c r="H14" s="20">
        <v>7450020</v>
      </c>
      <c r="I14" s="3" t="s">
        <v>13</v>
      </c>
      <c r="J14" s="3" t="s">
        <v>14</v>
      </c>
      <c r="K14" s="3" t="s">
        <v>39</v>
      </c>
    </row>
    <row r="15" spans="1:11" ht="117" customHeight="1">
      <c r="A15" s="7">
        <v>1</v>
      </c>
      <c r="B15" s="7" t="s">
        <v>1</v>
      </c>
      <c r="C15" s="3">
        <v>340201008</v>
      </c>
      <c r="D15" s="3">
        <v>999999999</v>
      </c>
      <c r="E15" s="3">
        <v>999999999</v>
      </c>
      <c r="F15" s="3" t="s">
        <v>11</v>
      </c>
      <c r="G15" s="15" t="s">
        <v>40</v>
      </c>
      <c r="H15" s="20">
        <v>6216000</v>
      </c>
      <c r="I15" s="3" t="s">
        <v>13</v>
      </c>
      <c r="J15" s="3" t="s">
        <v>14</v>
      </c>
      <c r="K15" s="9" t="s">
        <v>41</v>
      </c>
    </row>
    <row r="16" spans="1:11" ht="141.75" customHeight="1">
      <c r="A16" s="7">
        <v>1</v>
      </c>
      <c r="B16" s="7" t="s">
        <v>1</v>
      </c>
      <c r="C16" s="3">
        <v>340201008</v>
      </c>
      <c r="D16" s="3">
        <v>999999999</v>
      </c>
      <c r="E16" s="3">
        <v>999999999</v>
      </c>
      <c r="F16" s="3" t="s">
        <v>11</v>
      </c>
      <c r="G16" s="25" t="s">
        <v>42</v>
      </c>
      <c r="H16" s="26">
        <v>12110000</v>
      </c>
      <c r="I16" s="3" t="s">
        <v>43</v>
      </c>
      <c r="J16" s="3" t="s">
        <v>14</v>
      </c>
      <c r="K16" s="9" t="s">
        <v>44</v>
      </c>
    </row>
    <row r="17" spans="1:11" ht="74.25" customHeight="1">
      <c r="A17" s="7">
        <v>1</v>
      </c>
      <c r="B17" s="7" t="s">
        <v>1</v>
      </c>
      <c r="C17" s="3">
        <v>340201008</v>
      </c>
      <c r="D17" s="3">
        <v>999999999</v>
      </c>
      <c r="E17" s="3">
        <v>999999999</v>
      </c>
      <c r="F17" s="3" t="s">
        <v>11</v>
      </c>
      <c r="G17" s="15" t="s">
        <v>45</v>
      </c>
      <c r="H17" s="21" t="s">
        <v>46</v>
      </c>
      <c r="I17" s="3" t="s">
        <v>43</v>
      </c>
      <c r="J17" s="3" t="s">
        <v>14</v>
      </c>
      <c r="K17" s="9"/>
    </row>
    <row r="18" spans="1:11" ht="51" customHeight="1">
      <c r="A18" s="2"/>
      <c r="B18" s="2"/>
      <c r="C18" s="2"/>
      <c r="D18" s="2"/>
      <c r="E18" s="2"/>
      <c r="F18" s="2"/>
      <c r="G18" s="25" t="s">
        <v>47</v>
      </c>
      <c r="H18" s="27">
        <v>6783000</v>
      </c>
      <c r="I18" s="3" t="s">
        <v>48</v>
      </c>
      <c r="J18" s="3" t="s">
        <v>14</v>
      </c>
      <c r="K18" s="3" t="s">
        <v>49</v>
      </c>
    </row>
    <row r="19" spans="1:11" ht="79.5" customHeight="1">
      <c r="A19" s="7">
        <v>150</v>
      </c>
      <c r="B19" s="7" t="s">
        <v>1</v>
      </c>
      <c r="C19" s="3">
        <v>340201008</v>
      </c>
      <c r="D19" s="3">
        <v>999999999</v>
      </c>
      <c r="E19" s="3">
        <v>999999999</v>
      </c>
      <c r="F19" s="3" t="s">
        <v>11</v>
      </c>
      <c r="G19" s="15" t="s">
        <v>50</v>
      </c>
      <c r="H19" s="21">
        <v>5357575</v>
      </c>
      <c r="I19" s="3" t="s">
        <v>43</v>
      </c>
      <c r="J19" s="3" t="s">
        <v>14</v>
      </c>
      <c r="K19" s="3" t="s">
        <v>51</v>
      </c>
    </row>
    <row r="20" spans="1:11" ht="75">
      <c r="A20" s="7">
        <v>1</v>
      </c>
      <c r="B20" s="7" t="s">
        <v>1</v>
      </c>
      <c r="C20" s="3">
        <v>340201008</v>
      </c>
      <c r="D20" s="3">
        <v>999999999</v>
      </c>
      <c r="E20" s="3">
        <v>999999999</v>
      </c>
      <c r="F20" s="3" t="s">
        <v>11</v>
      </c>
      <c r="G20" s="15" t="s">
        <v>52</v>
      </c>
      <c r="H20" s="21" t="s">
        <v>53</v>
      </c>
      <c r="I20" s="3" t="s">
        <v>43</v>
      </c>
      <c r="J20" s="3" t="s">
        <v>14</v>
      </c>
      <c r="K20" s="9" t="s">
        <v>54</v>
      </c>
    </row>
    <row r="21" spans="1:11" ht="49.5" customHeight="1">
      <c r="A21" s="2"/>
      <c r="B21" s="2"/>
      <c r="C21" s="2"/>
      <c r="D21" s="2"/>
      <c r="E21" s="2"/>
      <c r="F21" s="2"/>
      <c r="G21" s="15" t="s">
        <v>55</v>
      </c>
      <c r="H21" s="27">
        <v>10930000</v>
      </c>
      <c r="I21" s="3" t="s">
        <v>43</v>
      </c>
      <c r="J21" s="3" t="s">
        <v>14</v>
      </c>
      <c r="K21" s="9" t="s">
        <v>56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C3E1-407B-4271-9D81-A9C9CC3E901C}">
  <dimension ref="A1:H24"/>
  <sheetViews>
    <sheetView tabSelected="1" workbookViewId="0">
      <selection activeCell="G4" sqref="G4"/>
    </sheetView>
  </sheetViews>
  <sheetFormatPr defaultColWidth="11.42578125" defaultRowHeight="15"/>
  <cols>
    <col min="1" max="1" width="13.42578125" customWidth="1"/>
    <col min="2" max="2" width="27.5703125" customWidth="1"/>
    <col min="3" max="3" width="48.7109375" customWidth="1"/>
    <col min="4" max="4" width="29.140625" customWidth="1"/>
    <col min="5" max="5" width="15.7109375" customWidth="1"/>
    <col min="6" max="6" width="20.140625" customWidth="1"/>
    <col min="7" max="7" width="35" customWidth="1"/>
    <col min="8" max="8" width="58.28515625" customWidth="1"/>
  </cols>
  <sheetData>
    <row r="1" spans="1:8" ht="25.5">
      <c r="A1" s="4" t="s">
        <v>57</v>
      </c>
      <c r="B1" s="4" t="s">
        <v>58</v>
      </c>
      <c r="C1" s="4" t="s">
        <v>6</v>
      </c>
      <c r="D1" s="4" t="s">
        <v>59</v>
      </c>
      <c r="E1" s="4" t="s">
        <v>60</v>
      </c>
      <c r="F1" s="4" t="s">
        <v>61</v>
      </c>
      <c r="G1" s="4" t="s">
        <v>62</v>
      </c>
    </row>
    <row r="2" spans="1:8" ht="48.75" customHeight="1">
      <c r="A2" s="8">
        <v>45733</v>
      </c>
      <c r="B2" s="8" t="s">
        <v>63</v>
      </c>
      <c r="C2" s="11" t="s">
        <v>64</v>
      </c>
      <c r="D2" s="9" t="s">
        <v>65</v>
      </c>
      <c r="E2" s="10">
        <v>3000000</v>
      </c>
      <c r="F2" s="10" t="s">
        <v>66</v>
      </c>
      <c r="G2" s="9"/>
      <c r="H2" t="e" vm="1">
        <f>_xleta.IMAGE</f>
        <v>#VALUE!</v>
      </c>
    </row>
    <row r="3" spans="1:8" ht="68.25" customHeight="1">
      <c r="A3" s="8">
        <v>45817</v>
      </c>
      <c r="B3" s="14" t="s">
        <v>67</v>
      </c>
      <c r="C3" s="24" t="s">
        <v>68</v>
      </c>
      <c r="D3" s="9" t="s">
        <v>69</v>
      </c>
      <c r="E3" s="10">
        <v>215000</v>
      </c>
      <c r="F3" s="9" t="s">
        <v>70</v>
      </c>
      <c r="G3" s="9"/>
    </row>
    <row r="4" spans="1:8">
      <c r="A4" s="29">
        <v>45933</v>
      </c>
      <c r="B4" s="14" t="s">
        <v>67</v>
      </c>
      <c r="C4" s="2" t="s">
        <v>71</v>
      </c>
      <c r="D4" s="2"/>
      <c r="E4" s="2"/>
      <c r="F4" s="2" t="s">
        <v>72</v>
      </c>
      <c r="G4" s="2"/>
    </row>
    <row r="5" spans="1:8">
      <c r="A5" s="2"/>
      <c r="B5" s="2"/>
      <c r="C5" s="2"/>
      <c r="D5" s="2"/>
      <c r="E5" s="2"/>
      <c r="F5" s="2"/>
      <c r="G5" s="2"/>
    </row>
    <row r="6" spans="1:8">
      <c r="A6" s="29">
        <v>45987</v>
      </c>
      <c r="B6" s="14" t="s">
        <v>67</v>
      </c>
      <c r="C6" s="2" t="s">
        <v>73</v>
      </c>
      <c r="D6" s="2" t="s">
        <v>74</v>
      </c>
      <c r="E6" s="28">
        <v>70000</v>
      </c>
      <c r="F6" s="9" t="s">
        <v>75</v>
      </c>
      <c r="G6" s="2" t="s">
        <v>76</v>
      </c>
    </row>
    <row r="7" spans="1:8">
      <c r="A7" s="2"/>
      <c r="B7" s="2"/>
      <c r="C7" s="2"/>
      <c r="D7" s="2"/>
      <c r="E7" s="2"/>
      <c r="F7" s="2"/>
      <c r="G7" s="2"/>
    </row>
    <row r="8" spans="1:8">
      <c r="A8" s="2"/>
      <c r="B8" s="2"/>
      <c r="C8" s="2"/>
      <c r="D8" s="2"/>
      <c r="E8" s="2"/>
      <c r="F8" s="2"/>
      <c r="G8" s="2"/>
    </row>
    <row r="9" spans="1:8">
      <c r="A9" s="2"/>
      <c r="B9" s="2"/>
      <c r="C9" s="2"/>
      <c r="D9" s="2"/>
      <c r="E9" s="2"/>
      <c r="F9" s="2"/>
      <c r="G9" s="2"/>
    </row>
    <row r="10" spans="1:8">
      <c r="A10" s="2"/>
      <c r="B10" s="2"/>
      <c r="C10" s="2"/>
      <c r="D10" s="2"/>
      <c r="E10" s="2"/>
      <c r="F10" s="2"/>
      <c r="G10" s="2"/>
    </row>
    <row r="11" spans="1:8">
      <c r="A11" s="2"/>
      <c r="B11" s="2"/>
      <c r="C11" s="2"/>
      <c r="D11" s="2"/>
      <c r="E11" s="2"/>
      <c r="F11" s="2"/>
      <c r="G11" s="2"/>
    </row>
    <row r="12" spans="1:8">
      <c r="A12" s="2"/>
      <c r="B12" s="2"/>
      <c r="C12" s="2"/>
      <c r="D12" s="2"/>
      <c r="E12" s="2"/>
      <c r="F12" s="2"/>
      <c r="G12" s="2"/>
    </row>
    <row r="13" spans="1:8">
      <c r="A13" s="2"/>
      <c r="B13" s="2"/>
      <c r="C13" s="2"/>
      <c r="D13" s="2"/>
      <c r="E13" s="2"/>
      <c r="F13" s="2"/>
      <c r="G13" s="2"/>
    </row>
    <row r="14" spans="1:8">
      <c r="A14" s="2"/>
      <c r="B14" s="2"/>
      <c r="C14" s="2"/>
      <c r="D14" s="2"/>
      <c r="E14" s="2"/>
      <c r="F14" s="2"/>
      <c r="G14" s="2"/>
    </row>
    <row r="15" spans="1:8">
      <c r="A15" s="2"/>
      <c r="B15" s="2"/>
      <c r="C15" s="2"/>
      <c r="D15" s="2"/>
      <c r="E15" s="2"/>
      <c r="F15" s="2"/>
      <c r="G15" s="2"/>
    </row>
    <row r="16" spans="1:8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9805-54F9-4A8C-B883-768748BF4FDC}">
  <dimension ref="A1:D2"/>
  <sheetViews>
    <sheetView workbookViewId="0">
      <selection activeCell="A2" sqref="A2"/>
    </sheetView>
  </sheetViews>
  <sheetFormatPr defaultColWidth="9.140625" defaultRowHeight="15"/>
  <cols>
    <col min="1" max="1" width="41.42578125" customWidth="1"/>
    <col min="2" max="2" width="21.140625" customWidth="1"/>
    <col min="3" max="3" width="17.140625" customWidth="1"/>
    <col min="4" max="4" width="23.85546875" customWidth="1"/>
  </cols>
  <sheetData>
    <row r="1" spans="1:4" ht="26.25" customHeight="1">
      <c r="A1" s="4" t="s">
        <v>6</v>
      </c>
      <c r="B1" s="4" t="s">
        <v>7</v>
      </c>
      <c r="C1" s="4" t="s">
        <v>77</v>
      </c>
      <c r="D1" s="12" t="s">
        <v>78</v>
      </c>
    </row>
    <row r="2" spans="1:4" ht="120">
      <c r="A2" s="11" t="s">
        <v>21</v>
      </c>
      <c r="B2" s="1">
        <v>3000000</v>
      </c>
      <c r="C2" s="13" t="s">
        <v>79</v>
      </c>
      <c r="D2" s="1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4200-25E4-4518-8054-AC93850811E3}">
  <dimension ref="A1:E8"/>
  <sheetViews>
    <sheetView workbookViewId="0">
      <selection sqref="A1:E8"/>
    </sheetView>
  </sheetViews>
  <sheetFormatPr defaultColWidth="11.42578125" defaultRowHeight="15"/>
  <cols>
    <col min="1" max="1" width="18.140625" style="32" customWidth="1"/>
    <col min="2" max="2" width="25" customWidth="1"/>
    <col min="3" max="3" width="59.140625" customWidth="1"/>
    <col min="4" max="5" width="22.85546875" customWidth="1"/>
    <col min="6" max="6" width="27.5703125" customWidth="1"/>
  </cols>
  <sheetData>
    <row r="1" spans="1:5" ht="30">
      <c r="A1" s="40" t="s">
        <v>57</v>
      </c>
      <c r="B1" s="40" t="s">
        <v>58</v>
      </c>
      <c r="C1" s="40" t="s">
        <v>6</v>
      </c>
      <c r="D1" s="40" t="s">
        <v>59</v>
      </c>
      <c r="E1" s="40" t="s">
        <v>60</v>
      </c>
    </row>
    <row r="2" spans="1:5" ht="69.75" customHeight="1">
      <c r="A2" s="41"/>
      <c r="B2" s="33" t="s">
        <v>80</v>
      </c>
      <c r="C2" s="42" t="s">
        <v>81</v>
      </c>
      <c r="D2" s="42" t="s">
        <v>82</v>
      </c>
      <c r="E2" s="36">
        <v>15000000</v>
      </c>
    </row>
    <row r="3" spans="1:5" s="31" customFormat="1" ht="103.5" customHeight="1">
      <c r="A3" s="34">
        <v>45733</v>
      </c>
      <c r="B3" s="33" t="s">
        <v>83</v>
      </c>
      <c r="C3" s="33" t="s">
        <v>84</v>
      </c>
      <c r="D3" s="35" t="s">
        <v>65</v>
      </c>
      <c r="E3" s="36">
        <v>3000000</v>
      </c>
    </row>
    <row r="4" spans="1:5" ht="34.5" customHeight="1">
      <c r="A4" s="37">
        <v>45817</v>
      </c>
      <c r="B4" s="38" t="s">
        <v>67</v>
      </c>
      <c r="C4" s="43" t="s">
        <v>68</v>
      </c>
      <c r="D4" s="38" t="s">
        <v>69</v>
      </c>
      <c r="E4" s="39">
        <v>215000</v>
      </c>
    </row>
    <row r="5" spans="1:5" ht="30" customHeight="1">
      <c r="A5" s="37">
        <v>45933</v>
      </c>
      <c r="B5" s="38" t="s">
        <v>67</v>
      </c>
      <c r="C5" s="38" t="s">
        <v>71</v>
      </c>
      <c r="D5" s="38" t="s">
        <v>69</v>
      </c>
      <c r="E5" s="39">
        <v>65000</v>
      </c>
    </row>
    <row r="6" spans="1:5" ht="30.75" customHeight="1">
      <c r="A6" s="37">
        <v>45987</v>
      </c>
      <c r="B6" s="35" t="s">
        <v>67</v>
      </c>
      <c r="C6" s="38" t="s">
        <v>73</v>
      </c>
      <c r="D6" s="38" t="s">
        <v>74</v>
      </c>
      <c r="E6" s="39">
        <v>70000</v>
      </c>
    </row>
    <row r="7" spans="1:5" ht="98.25" customHeight="1">
      <c r="A7" s="30"/>
      <c r="B7" s="33" t="s">
        <v>83</v>
      </c>
      <c r="C7" s="13" t="s">
        <v>85</v>
      </c>
      <c r="D7" s="33" t="s">
        <v>86</v>
      </c>
      <c r="E7" s="39">
        <v>12485000</v>
      </c>
    </row>
    <row r="8" spans="1:5">
      <c r="E8" s="44">
        <f>SUM(E2:E7)</f>
        <v>30835000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Yessica Del Carmen Muñoz Reyes</dc:creator>
  <cp:keywords/>
  <dc:description/>
  <cp:lastModifiedBy/>
  <cp:revision/>
  <dcterms:created xsi:type="dcterms:W3CDTF">2024-02-20T15:38:37Z</dcterms:created>
  <dcterms:modified xsi:type="dcterms:W3CDTF">2026-07-24T16:16:18Z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2024-02-21T16:29:31Z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42fa166a-94c1-4b51-980a-3c15210d3222</vt:lpwstr>
  </property>
  <property fmtid="{D5CDD505-2E9C-101B-9397-08002B2CF9AE}" pid="8" name="MSIP_Label_f535a957-b352-4c2d-aa57-80f72177303d_ContentBits">
    <vt:lpwstr>0</vt:lpwstr>
  </property>
</Properties>
</file>